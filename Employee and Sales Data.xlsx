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uwa\OneDrive\Documents\"/>
    </mc:Choice>
  </mc:AlternateContent>
  <xr:revisionPtr revIDLastSave="0" documentId="8_{57B6CF4D-9F61-47A1-A317-66FBF7A2047B}" xr6:coauthVersionLast="47" xr6:coauthVersionMax="47" xr10:uidLastSave="{00000000-0000-0000-0000-000000000000}"/>
  <bookViews>
    <workbookView xWindow="-120" yWindow="-120" windowWidth="29040" windowHeight="15720" xr2:uid="{8F7E4608-2A2C-404E-9990-FCF5B750535E}"/>
  </bookViews>
  <sheets>
    <sheet name="Sheet 1 - Employee Data" sheetId="1" r:id="rId1"/>
    <sheet name="Sheet 2 - Sales Data" sheetId="3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5" i="3" l="1"/>
  <c r="C34" i="3"/>
  <c r="C33" i="3"/>
  <c r="C32" i="3"/>
  <c r="D29" i="3"/>
  <c r="D28" i="3"/>
  <c r="D27" i="3"/>
  <c r="D24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D25" i="3" s="1"/>
  <c r="F5" i="3"/>
  <c r="F4" i="3"/>
  <c r="F3" i="3"/>
  <c r="N17" i="1"/>
  <c r="M17" i="1"/>
  <c r="L17" i="1"/>
  <c r="J17" i="1"/>
  <c r="K17" i="1" s="1"/>
  <c r="N16" i="1"/>
  <c r="M16" i="1"/>
  <c r="L16" i="1"/>
  <c r="J16" i="1"/>
  <c r="K16" i="1" s="1"/>
  <c r="N15" i="1"/>
  <c r="M15" i="1"/>
  <c r="L15" i="1"/>
  <c r="K15" i="1"/>
  <c r="J15" i="1"/>
  <c r="N14" i="1"/>
  <c r="M14" i="1"/>
  <c r="L14" i="1"/>
  <c r="J14" i="1"/>
  <c r="K14" i="1" s="1"/>
  <c r="N13" i="1"/>
  <c r="M13" i="1"/>
  <c r="L13" i="1"/>
  <c r="J13" i="1"/>
  <c r="K13" i="1" s="1"/>
  <c r="N12" i="1"/>
  <c r="M12" i="1"/>
  <c r="L12" i="1"/>
  <c r="J12" i="1"/>
  <c r="K12" i="1" s="1"/>
  <c r="N11" i="1"/>
  <c r="M11" i="1"/>
  <c r="L11" i="1"/>
  <c r="K11" i="1"/>
  <c r="J11" i="1"/>
  <c r="N10" i="1"/>
  <c r="M10" i="1"/>
  <c r="L10" i="1"/>
  <c r="K10" i="1"/>
  <c r="J10" i="1"/>
  <c r="N9" i="1"/>
  <c r="M9" i="1"/>
  <c r="L9" i="1"/>
  <c r="J9" i="1"/>
  <c r="K9" i="1" s="1"/>
  <c r="N8" i="1"/>
  <c r="M8" i="1"/>
  <c r="L8" i="1"/>
  <c r="J8" i="1"/>
  <c r="K8" i="1" s="1"/>
  <c r="N7" i="1"/>
  <c r="M7" i="1"/>
  <c r="L7" i="1"/>
  <c r="K7" i="1"/>
  <c r="J7" i="1"/>
  <c r="N6" i="1"/>
  <c r="M6" i="1"/>
  <c r="L6" i="1"/>
  <c r="K6" i="1"/>
  <c r="J6" i="1"/>
  <c r="N5" i="1"/>
  <c r="M5" i="1"/>
  <c r="L5" i="1"/>
  <c r="J5" i="1"/>
  <c r="K5" i="1" s="1"/>
  <c r="N4" i="1"/>
  <c r="M4" i="1"/>
  <c r="L4" i="1"/>
  <c r="K4" i="1"/>
  <c r="J4" i="1"/>
  <c r="N3" i="1"/>
  <c r="M3" i="1"/>
  <c r="L3" i="1"/>
  <c r="J3" i="1"/>
  <c r="K3" i="1" s="1"/>
</calcChain>
</file>

<file path=xl/sharedStrings.xml><?xml version="1.0" encoding="utf-8"?>
<sst xmlns="http://schemas.openxmlformats.org/spreadsheetml/2006/main" count="200" uniqueCount="109">
  <si>
    <t>PROJECT TEAM DATABASE — RAW DATA</t>
  </si>
  <si>
    <t>Employee ID</t>
  </si>
  <si>
    <t>First Name</t>
  </si>
  <si>
    <t>Last Name</t>
  </si>
  <si>
    <t>Department</t>
  </si>
  <si>
    <t>Job Title</t>
  </si>
  <si>
    <t>Location</t>
  </si>
  <si>
    <t>Annual Budget (₦)</t>
  </si>
  <si>
    <t>Start Date</t>
  </si>
  <si>
    <t>Employment Type</t>
  </si>
  <si>
    <t>Bonus Rate</t>
  </si>
  <si>
    <t>Annual Bonus (₦)</t>
  </si>
  <si>
    <t>Monthly Budget (₦)</t>
  </si>
  <si>
    <t>Budget Band</t>
  </si>
  <si>
    <t>Tenure (Years)</t>
  </si>
  <si>
    <t>EMP001</t>
  </si>
  <si>
    <t>Jesuis</t>
  </si>
  <si>
    <t>Nebula</t>
  </si>
  <si>
    <t>Finance</t>
  </si>
  <si>
    <t>Analyst</t>
  </si>
  <si>
    <t>Nova City</t>
  </si>
  <si>
    <t>Full-Time</t>
  </si>
  <si>
    <t>EMP002</t>
  </si>
  <si>
    <t>Tues</t>
  </si>
  <si>
    <t>Quasar</t>
  </si>
  <si>
    <t>Engineering</t>
  </si>
  <si>
    <t>Junior Engineer</t>
  </si>
  <si>
    <t>Eldoria</t>
  </si>
  <si>
    <t>EMP003</t>
  </si>
  <si>
    <t>Ilest</t>
  </si>
  <si>
    <t>Vortex</t>
  </si>
  <si>
    <t>HR</t>
  </si>
  <si>
    <t>HR Associate</t>
  </si>
  <si>
    <t>EMP004</t>
  </si>
  <si>
    <t>Elleest</t>
  </si>
  <si>
    <t>Cosmos</t>
  </si>
  <si>
    <t>Operations</t>
  </si>
  <si>
    <t>Operations Coordinator</t>
  </si>
  <si>
    <t>Contract</t>
  </si>
  <si>
    <t>EMP005</t>
  </si>
  <si>
    <t>Noussommes</t>
  </si>
  <si>
    <t>Galaxy</t>
  </si>
  <si>
    <t>Senior Analyst</t>
  </si>
  <si>
    <t>EMP006</t>
  </si>
  <si>
    <t>Vousetes</t>
  </si>
  <si>
    <t>Pulsar</t>
  </si>
  <si>
    <t>Engineer</t>
  </si>
  <si>
    <t>EMP007</t>
  </si>
  <si>
    <t>Ilssont</t>
  </si>
  <si>
    <t>Meteor</t>
  </si>
  <si>
    <t>HR Manager</t>
  </si>
  <si>
    <t>EMP008</t>
  </si>
  <si>
    <t>Ellessont</t>
  </si>
  <si>
    <t>Solaris</t>
  </si>
  <si>
    <t>Logistics Officer</t>
  </si>
  <si>
    <t>EMP009</t>
  </si>
  <si>
    <t>Jai</t>
  </si>
  <si>
    <t>Zenith</t>
  </si>
  <si>
    <t>Accountant</t>
  </si>
  <si>
    <t>Arcaven</t>
  </si>
  <si>
    <t>EMP010</t>
  </si>
  <si>
    <t>Tuas</t>
  </si>
  <si>
    <t>Orion</t>
  </si>
  <si>
    <t>Project Lead</t>
  </si>
  <si>
    <t>EMP011</t>
  </si>
  <si>
    <t>Ila</t>
  </si>
  <si>
    <t>Eclipse</t>
  </si>
  <si>
    <t>Fleet Manager</t>
  </si>
  <si>
    <t>EMP012</t>
  </si>
  <si>
    <t>Ellea</t>
  </si>
  <si>
    <t>Nimbus</t>
  </si>
  <si>
    <t>Junior Accountant</t>
  </si>
  <si>
    <t>EMP013</t>
  </si>
  <si>
    <t>Nousavons</t>
  </si>
  <si>
    <t>Horizon</t>
  </si>
  <si>
    <t>Technical Lead</t>
  </si>
  <si>
    <t>EMP014</t>
  </si>
  <si>
    <t>Vousavez</t>
  </si>
  <si>
    <t>Equinox</t>
  </si>
  <si>
    <t>Recruiter</t>
  </si>
  <si>
    <t>EMP015</t>
  </si>
  <si>
    <t>Ilsont</t>
  </si>
  <si>
    <t>Celestia</t>
  </si>
  <si>
    <t>Site Supervisor</t>
  </si>
  <si>
    <t>BONUS REFERENCE TABLE (for LOOKUP)</t>
  </si>
  <si>
    <t>BPS PRODUCT SALES DATA — 2025</t>
  </si>
  <si>
    <t>Quarter</t>
  </si>
  <si>
    <t>Product</t>
  </si>
  <si>
    <t>Country</t>
  </si>
  <si>
    <t>Units Sold</t>
  </si>
  <si>
    <t>Unit Price (₦)</t>
  </si>
  <si>
    <t>Total Revenue (₦)</t>
  </si>
  <si>
    <t>Q1 2025</t>
  </si>
  <si>
    <t>Solar Panels</t>
  </si>
  <si>
    <t>Novaria</t>
  </si>
  <si>
    <t>Inverters</t>
  </si>
  <si>
    <t>Batteries</t>
  </si>
  <si>
    <t>Eldara</t>
  </si>
  <si>
    <t>Q2 2025</t>
  </si>
  <si>
    <t>Q3 2025</t>
  </si>
  <si>
    <t>Q4 2025</t>
  </si>
  <si>
    <t>SUMMARY CALCULATIONS</t>
  </si>
  <si>
    <t>Total units sold (all products, all quarters):</t>
  </si>
  <si>
    <t>Total revenue (all products, all quarters):</t>
  </si>
  <si>
    <t>Total units sold — Solar Panels only (SUMIF):</t>
  </si>
  <si>
    <t>Total units sold — Novaria only (SUMIF):</t>
  </si>
  <si>
    <t>Count of transactions in Q1 2025 (COUNTIF):</t>
  </si>
  <si>
    <t>QUARTER</t>
  </si>
  <si>
    <t>TOTAL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</si>
</sst>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[$]d\ mmm\ yyyy;@" x16r2:formatCode16="[$-en-GH,1]d\ mmm\ yyyy;@"/>
    <numFmt numFmtId="166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A342B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b/>
      <sz val="18"/>
      <color rgb="FF1A342B"/>
      <name val="Calibri"/>
      <family val="2"/>
    </font>
    <font>
      <b/>
      <sz val="11"/>
      <color rgb="FF1A342B"/>
      <name val="Calibri"/>
      <family val="2"/>
    </font>
    <font>
      <b/>
      <sz val="11"/>
      <color theme="1"/>
      <name val="Calibri"/>
      <family val="2"/>
    </font>
    <font>
      <b/>
      <sz val="14"/>
      <color rgb="FF1A342B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5805D"/>
        <bgColor rgb="FF25805D"/>
      </patternFill>
    </fill>
    <fill>
      <patternFill patternType="solid">
        <fgColor rgb="FF2EA87A"/>
        <bgColor rgb="FF2EA87A"/>
      </patternFill>
    </fill>
    <fill>
      <patternFill patternType="solid">
        <fgColor rgb="FFE8F5EE"/>
        <bgColor rgb="FFE8F5EE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164" fontId="0" fillId="0" borderId="0" xfId="1" applyNumberFormat="1" applyFont="1" applyBorder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64" fontId="6" fillId="3" borderId="1" xfId="1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1" fillId="0" borderId="0" xfId="0" applyFont="1"/>
    <xf numFmtId="0" fontId="7" fillId="0" borderId="2" xfId="0" applyFont="1" applyBorder="1" applyAlignment="1">
      <alignment vertical="center"/>
    </xf>
    <xf numFmtId="3" fontId="7" fillId="0" borderId="0" xfId="0" applyNumberFormat="1" applyFont="1" applyAlignment="1">
      <alignment vertical="center"/>
    </xf>
    <xf numFmtId="165" fontId="7" fillId="0" borderId="4" xfId="0" applyNumberFormat="1" applyFont="1" applyBorder="1" applyAlignment="1">
      <alignment vertical="center"/>
    </xf>
    <xf numFmtId="9" fontId="7" fillId="4" borderId="0" xfId="2" applyFont="1" applyFill="1" applyBorder="1"/>
    <xf numFmtId="164" fontId="7" fillId="4" borderId="0" xfId="1" applyNumberFormat="1" applyFont="1" applyFill="1" applyBorder="1"/>
    <xf numFmtId="43" fontId="7" fillId="4" borderId="0" xfId="1" applyFont="1" applyFill="1" applyBorder="1"/>
    <xf numFmtId="0" fontId="7" fillId="4" borderId="0" xfId="0" applyFont="1" applyFill="1"/>
    <xf numFmtId="166" fontId="7" fillId="4" borderId="0" xfId="0" applyNumberFormat="1" applyFont="1" applyFill="1"/>
    <xf numFmtId="2" fontId="7" fillId="0" borderId="0" xfId="0" applyNumberFormat="1" applyFont="1"/>
    <xf numFmtId="0" fontId="7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3" fontId="7" fillId="4" borderId="0" xfId="0" applyNumberFormat="1" applyFont="1" applyFill="1" applyAlignment="1">
      <alignment vertical="center"/>
    </xf>
    <xf numFmtId="165" fontId="7" fillId="4" borderId="4" xfId="0" applyNumberFormat="1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7" fillId="0" borderId="1" xfId="0" applyFont="1" applyBorder="1"/>
    <xf numFmtId="9" fontId="7" fillId="0" borderId="1" xfId="0" applyNumberFormat="1" applyFont="1" applyBorder="1"/>
    <xf numFmtId="0" fontId="3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0" fillId="0" borderId="0" xfId="0" applyFont="1"/>
    <xf numFmtId="0" fontId="11" fillId="3" borderId="1" xfId="0" applyFont="1" applyFill="1" applyBorder="1" applyAlignment="1">
      <alignment horizontal="center" vertical="center" wrapText="1"/>
    </xf>
    <xf numFmtId="3" fontId="8" fillId="0" borderId="1" xfId="0" applyNumberFormat="1" applyFont="1" applyBorder="1" applyAlignment="1">
      <alignment vertical="center"/>
    </xf>
    <xf numFmtId="164" fontId="8" fillId="4" borderId="0" xfId="1" applyNumberFormat="1" applyFont="1" applyFill="1" applyBorder="1"/>
    <xf numFmtId="3" fontId="8" fillId="4" borderId="1" xfId="0" applyNumberFormat="1" applyFont="1" applyFill="1" applyBorder="1" applyAlignment="1">
      <alignment vertical="center"/>
    </xf>
    <xf numFmtId="3" fontId="0" fillId="0" borderId="0" xfId="0" applyNumberFormat="1"/>
    <xf numFmtId="164" fontId="0" fillId="0" borderId="0" xfId="0" applyNumberFormat="1"/>
    <xf numFmtId="0" fontId="11" fillId="0" borderId="0" xfId="0" applyFont="1"/>
    <xf numFmtId="0" fontId="8" fillId="0" borderId="0" xfId="0" applyFont="1"/>
    <xf numFmtId="0" fontId="8" fillId="4" borderId="0" xfId="0" applyFont="1" applyFill="1"/>
    <xf numFmtId="0" fontId="2" fillId="0" borderId="6" xfId="0" applyFont="1" applyBorder="1" applyAlignment="1">
      <alignment wrapText="1"/>
    </xf>
    <xf numFmtId="0" fontId="11" fillId="4" borderId="6" xfId="0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6" xfId="0" applyFont="1" applyBorder="1"/>
    <xf numFmtId="0" fontId="0" fillId="0" borderId="6" xfId="0" applyBorder="1"/>
    <xf numFmtId="0" fontId="12" fillId="0" borderId="5" xfId="0" applyFont="1" applyBorder="1" applyAlignment="1">
      <alignment horizontal="center"/>
    </xf>
    <xf numFmtId="3" fontId="11" fillId="4" borderId="0" xfId="0" applyNumberFormat="1" applyFont="1" applyFill="1"/>
    <xf numFmtId="164" fontId="11" fillId="4" borderId="0" xfId="0" applyNumberFormat="1" applyFont="1" applyFill="1"/>
    <xf numFmtId="0" fontId="11" fillId="4" borderId="0" xfId="0" applyFont="1" applyFill="1"/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BPS PRODUCT SALES</a:t>
            </a:r>
          </a:p>
        </c:rich>
      </c:tx>
      <c:layout>
        <c:manualLayout>
          <c:xMode val="edge"/>
          <c:yMode val="edge"/>
          <c:x val="0.31748722594259421"/>
          <c:y val="3.31151976779876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980312897474857"/>
          <c:y val="0.1498550232290633"/>
          <c:w val="0.8901968503937007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'[1]Sheet 2 - Sales Data'!$C$31</c:f>
              <c:strCache>
                <c:ptCount val="1"/>
                <c:pt idx="0">
                  <c:v>TOTAL UNITS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'[1]Sheet 2 - Sales Data'!$B$32:$B$35</c:f>
              <c:strCache>
                <c:ptCount val="4"/>
                <c:pt idx="0">
                  <c:v>Q1 2025</c:v>
                </c:pt>
                <c:pt idx="1">
                  <c:v>Q2 2025</c:v>
                </c:pt>
                <c:pt idx="2">
                  <c:v>Q3 2025</c:v>
                </c:pt>
                <c:pt idx="3">
                  <c:v>Q4 2025</c:v>
                </c:pt>
              </c:strCache>
            </c:strRef>
          </c:cat>
          <c:val>
            <c:numRef>
              <c:f>'[1]Sheet 2 - Sales Data'!$C$32:$C$35</c:f>
              <c:numCache>
                <c:formatCode>General</c:formatCode>
                <c:ptCount val="4"/>
                <c:pt idx="0">
                  <c:v>143</c:v>
                </c:pt>
                <c:pt idx="1">
                  <c:v>201</c:v>
                </c:pt>
                <c:pt idx="2">
                  <c:v>169</c:v>
                </c:pt>
                <c:pt idx="3">
                  <c:v>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22-4E19-A9B4-97DB6360A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3190575"/>
        <c:axId val="583171855"/>
      </c:barChart>
      <c:catAx>
        <c:axId val="5831905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(Quarter)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171855"/>
        <c:crosses val="autoZero"/>
        <c:auto val="1"/>
        <c:lblAlgn val="ctr"/>
        <c:lblOffset val="100"/>
        <c:noMultiLvlLbl val="0"/>
      </c:catAx>
      <c:valAx>
        <c:axId val="58317185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Units</a:t>
                </a:r>
                <a:r>
                  <a:rPr lang="en-US" baseline="0"/>
                  <a:t> Sold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  <a:beve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190575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564986</xdr:colOff>
      <xdr:row>36</xdr:row>
      <xdr:rowOff>172235</xdr:rowOff>
    </xdr:from>
    <xdr:to>
      <xdr:col>4</xdr:col>
      <xdr:colOff>454628</xdr:colOff>
      <xdr:row>51</xdr:row>
      <xdr:rowOff>52244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F8046E-A4FF-4BF8-88DC-31D9107F78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wa\OneDrive\Documents\Practice%20Results%20(Oluwatobiloba%20O.).xlsx" TargetMode="External"/><Relationship Id="rId1" Type="http://schemas.openxmlformats.org/officeDocument/2006/relationships/externalLinkPath" Target="Practice%20Results%20(Oluwatobiloba%20O.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 Candidates"/>
      <sheetName val="Sheet 1 - Employee Data"/>
      <sheetName val="Sheet 2 - Sales Data"/>
    </sheetNames>
    <sheetDataSet>
      <sheetData sheetId="0"/>
      <sheetData sheetId="1"/>
      <sheetData sheetId="2">
        <row r="31">
          <cell r="C31" t="str">
            <v>TOTAL UNITS SOLD</v>
          </cell>
        </row>
        <row r="32">
          <cell r="B32" t="str">
            <v>Q1 2025</v>
          </cell>
          <cell r="C32">
            <v>143</v>
          </cell>
        </row>
        <row r="33">
          <cell r="B33" t="str">
            <v>Q2 2025</v>
          </cell>
          <cell r="C33">
            <v>201</v>
          </cell>
        </row>
        <row r="34">
          <cell r="B34" t="str">
            <v>Q3 2025</v>
          </cell>
          <cell r="C34">
            <v>169</v>
          </cell>
        </row>
        <row r="35">
          <cell r="B35" t="str">
            <v>Q4 2025</v>
          </cell>
          <cell r="C35">
            <v>256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E63EA-5FFB-4C4E-A76C-3A296A0B8298}">
  <dimension ref="A1:O26"/>
  <sheetViews>
    <sheetView tabSelected="1" workbookViewId="0">
      <selection activeCell="D13" sqref="D13"/>
    </sheetView>
  </sheetViews>
  <sheetFormatPr defaultRowHeight="15" x14ac:dyDescent="0.25"/>
  <cols>
    <col min="1" max="1" width="36.5703125" bestFit="1" customWidth="1"/>
    <col min="2" max="2" width="13.140625" bestFit="1" customWidth="1"/>
    <col min="3" max="4" width="15.5703125" customWidth="1"/>
    <col min="5" max="5" width="22.28515625" bestFit="1" customWidth="1"/>
    <col min="6" max="9" width="16.5703125" customWidth="1"/>
    <col min="10" max="12" width="13.7109375" customWidth="1"/>
    <col min="13" max="13" width="15.7109375" customWidth="1"/>
    <col min="14" max="14" width="13.7109375" customWidth="1"/>
  </cols>
  <sheetData>
    <row r="1" spans="1:15" ht="21" customHeight="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5" ht="14.25" customHeight="1" x14ac:dyDescent="0.25">
      <c r="A2" s="2" t="s">
        <v>1</v>
      </c>
      <c r="B2" s="3" t="s">
        <v>2</v>
      </c>
      <c r="C2" s="2" t="s">
        <v>3</v>
      </c>
      <c r="D2" s="2" t="s">
        <v>4</v>
      </c>
      <c r="E2" s="2" t="s">
        <v>5</v>
      </c>
      <c r="F2" s="4" t="s">
        <v>6</v>
      </c>
      <c r="G2" s="5" t="s">
        <v>7</v>
      </c>
      <c r="H2" s="6" t="s">
        <v>8</v>
      </c>
      <c r="I2" s="2" t="s">
        <v>9</v>
      </c>
      <c r="J2" s="7" t="s">
        <v>10</v>
      </c>
      <c r="K2" s="8" t="s">
        <v>11</v>
      </c>
      <c r="L2" s="7" t="s">
        <v>12</v>
      </c>
      <c r="M2" s="7" t="s">
        <v>13</v>
      </c>
      <c r="N2" s="7" t="s">
        <v>14</v>
      </c>
    </row>
    <row r="3" spans="1:15" ht="14.25" customHeight="1" x14ac:dyDescent="0.25">
      <c r="A3" s="9" t="s">
        <v>15</v>
      </c>
      <c r="B3" s="10" t="s">
        <v>16</v>
      </c>
      <c r="C3" s="9" t="s">
        <v>17</v>
      </c>
      <c r="D3" s="9" t="s">
        <v>18</v>
      </c>
      <c r="E3" s="9" t="s">
        <v>19</v>
      </c>
      <c r="F3" s="11" t="s">
        <v>20</v>
      </c>
      <c r="G3" s="12">
        <v>2850000</v>
      </c>
      <c r="H3" s="13">
        <v>45000</v>
      </c>
      <c r="I3" s="9" t="s">
        <v>21</v>
      </c>
      <c r="J3" s="14">
        <f>VLOOKUP(D3,$A$22:$B$25,2,FALSE)</f>
        <v>0.08</v>
      </c>
      <c r="K3" s="15">
        <f>J3*G3</f>
        <v>228000</v>
      </c>
      <c r="L3" s="16">
        <f>G3/12</f>
        <v>237500</v>
      </c>
      <c r="M3" s="17" t="str">
        <f>IF(G3&gt;=4000000,"Senior",IF(G3&gt;=3000000,"Mid-level","Junior"))</f>
        <v>Junior</v>
      </c>
      <c r="N3" s="18">
        <f ca="1">TODAY()-H3</f>
        <v>1160</v>
      </c>
      <c r="O3" s="19"/>
    </row>
    <row r="4" spans="1:15" ht="14.25" customHeight="1" x14ac:dyDescent="0.25">
      <c r="A4" s="20" t="s">
        <v>22</v>
      </c>
      <c r="B4" s="21" t="s">
        <v>23</v>
      </c>
      <c r="C4" s="20" t="s">
        <v>24</v>
      </c>
      <c r="D4" s="20" t="s">
        <v>25</v>
      </c>
      <c r="E4" s="20" t="s">
        <v>26</v>
      </c>
      <c r="F4" s="22" t="s">
        <v>27</v>
      </c>
      <c r="G4" s="23">
        <v>3200000</v>
      </c>
      <c r="H4" s="24">
        <v>44743</v>
      </c>
      <c r="I4" s="20" t="s">
        <v>21</v>
      </c>
      <c r="J4" s="14">
        <f t="shared" ref="J4:J17" si="0">VLOOKUP(D4,$A$22:$B$25,2,FALSE)</f>
        <v>0.12</v>
      </c>
      <c r="K4" s="15">
        <f t="shared" ref="K4:K17" si="1">J4*G4</f>
        <v>384000</v>
      </c>
      <c r="L4" s="16">
        <f t="shared" ref="L4:L17" si="2">G4/12</f>
        <v>266666.66666666669</v>
      </c>
      <c r="M4" s="17" t="str">
        <f t="shared" ref="M4:M17" si="3">IF(G4&gt;=4000000,"Senior",IF(G4&gt;=3000000,"Mid-level","Junior"))</f>
        <v>Mid-level</v>
      </c>
      <c r="N4" s="18">
        <f t="shared" ref="N4:N17" ca="1" si="4">TODAY()-H4</f>
        <v>1417</v>
      </c>
      <c r="O4" s="19"/>
    </row>
    <row r="5" spans="1:15" ht="14.25" customHeight="1" x14ac:dyDescent="0.25">
      <c r="A5" s="9" t="s">
        <v>28</v>
      </c>
      <c r="B5" s="25" t="s">
        <v>29</v>
      </c>
      <c r="C5" s="9" t="s">
        <v>30</v>
      </c>
      <c r="D5" s="9" t="s">
        <v>31</v>
      </c>
      <c r="E5" s="9" t="s">
        <v>32</v>
      </c>
      <c r="F5" s="11" t="s">
        <v>20</v>
      </c>
      <c r="G5" s="12">
        <v>2500000</v>
      </c>
      <c r="H5" s="13">
        <v>45301</v>
      </c>
      <c r="I5" s="9" t="s">
        <v>21</v>
      </c>
      <c r="J5" s="14">
        <f t="shared" si="0"/>
        <v>0.06</v>
      </c>
      <c r="K5" s="15">
        <f t="shared" si="1"/>
        <v>150000</v>
      </c>
      <c r="L5" s="16">
        <f t="shared" si="2"/>
        <v>208333.33333333334</v>
      </c>
      <c r="M5" s="17" t="str">
        <f t="shared" si="3"/>
        <v>Junior</v>
      </c>
      <c r="N5" s="18">
        <f t="shared" ca="1" si="4"/>
        <v>859</v>
      </c>
      <c r="O5" s="19"/>
    </row>
    <row r="6" spans="1:15" ht="14.25" customHeight="1" x14ac:dyDescent="0.25">
      <c r="A6" s="21" t="s">
        <v>33</v>
      </c>
      <c r="B6" s="21" t="s">
        <v>34</v>
      </c>
      <c r="C6" s="20" t="s">
        <v>35</v>
      </c>
      <c r="D6" s="20" t="s">
        <v>36</v>
      </c>
      <c r="E6" s="20" t="s">
        <v>37</v>
      </c>
      <c r="F6" s="22" t="s">
        <v>27</v>
      </c>
      <c r="G6" s="23">
        <v>2900000</v>
      </c>
      <c r="H6" s="24">
        <v>45189</v>
      </c>
      <c r="I6" s="20" t="s">
        <v>38</v>
      </c>
      <c r="J6" s="14">
        <f t="shared" si="0"/>
        <v>0.1</v>
      </c>
      <c r="K6" s="15">
        <f t="shared" si="1"/>
        <v>290000</v>
      </c>
      <c r="L6" s="16">
        <f t="shared" si="2"/>
        <v>241666.66666666666</v>
      </c>
      <c r="M6" s="17" t="str">
        <f t="shared" si="3"/>
        <v>Junior</v>
      </c>
      <c r="N6" s="18">
        <f t="shared" ca="1" si="4"/>
        <v>971</v>
      </c>
      <c r="O6" s="19"/>
    </row>
    <row r="7" spans="1:15" ht="14.25" customHeight="1" x14ac:dyDescent="0.25">
      <c r="A7" s="9" t="s">
        <v>39</v>
      </c>
      <c r="B7" s="25" t="s">
        <v>40</v>
      </c>
      <c r="C7" s="9" t="s">
        <v>41</v>
      </c>
      <c r="D7" s="9" t="s">
        <v>18</v>
      </c>
      <c r="E7" s="9" t="s">
        <v>42</v>
      </c>
      <c r="F7" s="11" t="s">
        <v>20</v>
      </c>
      <c r="G7" s="12">
        <v>4100000</v>
      </c>
      <c r="H7" s="13">
        <v>44298</v>
      </c>
      <c r="I7" s="9" t="s">
        <v>21</v>
      </c>
      <c r="J7" s="14">
        <f t="shared" si="0"/>
        <v>0.08</v>
      </c>
      <c r="K7" s="15">
        <f t="shared" si="1"/>
        <v>328000</v>
      </c>
      <c r="L7" s="16">
        <f t="shared" si="2"/>
        <v>341666.66666666669</v>
      </c>
      <c r="M7" s="17" t="str">
        <f t="shared" si="3"/>
        <v>Senior</v>
      </c>
      <c r="N7" s="18">
        <f t="shared" ca="1" si="4"/>
        <v>1862</v>
      </c>
      <c r="O7" s="19"/>
    </row>
    <row r="8" spans="1:15" ht="14.25" customHeight="1" x14ac:dyDescent="0.25">
      <c r="A8" s="20" t="s">
        <v>43</v>
      </c>
      <c r="B8" s="21" t="s">
        <v>44</v>
      </c>
      <c r="C8" s="20" t="s">
        <v>45</v>
      </c>
      <c r="D8" s="20" t="s">
        <v>25</v>
      </c>
      <c r="E8" s="20" t="s">
        <v>46</v>
      </c>
      <c r="F8" s="22" t="s">
        <v>27</v>
      </c>
      <c r="G8" s="23">
        <v>3800000</v>
      </c>
      <c r="H8" s="24">
        <v>44870</v>
      </c>
      <c r="I8" s="20" t="s">
        <v>21</v>
      </c>
      <c r="J8" s="14">
        <f t="shared" si="0"/>
        <v>0.12</v>
      </c>
      <c r="K8" s="15">
        <f t="shared" si="1"/>
        <v>456000</v>
      </c>
      <c r="L8" s="16">
        <f t="shared" si="2"/>
        <v>316666.66666666669</v>
      </c>
      <c r="M8" s="17" t="str">
        <f t="shared" si="3"/>
        <v>Mid-level</v>
      </c>
      <c r="N8" s="18">
        <f t="shared" ca="1" si="4"/>
        <v>1290</v>
      </c>
      <c r="O8" s="19"/>
    </row>
    <row r="9" spans="1:15" ht="14.25" customHeight="1" x14ac:dyDescent="0.25">
      <c r="A9" s="9" t="s">
        <v>47</v>
      </c>
      <c r="B9" s="25" t="s">
        <v>48</v>
      </c>
      <c r="C9" s="9" t="s">
        <v>49</v>
      </c>
      <c r="D9" s="9" t="s">
        <v>31</v>
      </c>
      <c r="E9" s="9" t="s">
        <v>50</v>
      </c>
      <c r="F9" s="11" t="s">
        <v>20</v>
      </c>
      <c r="G9" s="12">
        <v>5200000</v>
      </c>
      <c r="H9" s="13">
        <v>44061</v>
      </c>
      <c r="I9" s="9" t="s">
        <v>21</v>
      </c>
      <c r="J9" s="14">
        <f t="shared" si="0"/>
        <v>0.06</v>
      </c>
      <c r="K9" s="15">
        <f t="shared" si="1"/>
        <v>312000</v>
      </c>
      <c r="L9" s="16">
        <f t="shared" si="2"/>
        <v>433333.33333333331</v>
      </c>
      <c r="M9" s="17" t="str">
        <f t="shared" si="3"/>
        <v>Senior</v>
      </c>
      <c r="N9" s="18">
        <f t="shared" ca="1" si="4"/>
        <v>2099</v>
      </c>
      <c r="O9" s="19"/>
    </row>
    <row r="10" spans="1:15" ht="14.25" customHeight="1" x14ac:dyDescent="0.25">
      <c r="A10" s="20" t="s">
        <v>51</v>
      </c>
      <c r="B10" s="21" t="s">
        <v>52</v>
      </c>
      <c r="C10" s="20" t="s">
        <v>53</v>
      </c>
      <c r="D10" s="20" t="s">
        <v>36</v>
      </c>
      <c r="E10" s="20" t="s">
        <v>54</v>
      </c>
      <c r="F10" s="22" t="s">
        <v>27</v>
      </c>
      <c r="G10" s="23">
        <v>2700000</v>
      </c>
      <c r="H10" s="24">
        <v>45350</v>
      </c>
      <c r="I10" s="20" t="s">
        <v>38</v>
      </c>
      <c r="J10" s="14">
        <f t="shared" si="0"/>
        <v>0.1</v>
      </c>
      <c r="K10" s="15">
        <f t="shared" si="1"/>
        <v>270000</v>
      </c>
      <c r="L10" s="16">
        <f t="shared" si="2"/>
        <v>225000</v>
      </c>
      <c r="M10" s="17" t="str">
        <f t="shared" si="3"/>
        <v>Junior</v>
      </c>
      <c r="N10" s="18">
        <f t="shared" ca="1" si="4"/>
        <v>810</v>
      </c>
      <c r="O10" s="19"/>
    </row>
    <row r="11" spans="1:15" ht="14.25" customHeight="1" x14ac:dyDescent="0.25">
      <c r="A11" s="9" t="s">
        <v>55</v>
      </c>
      <c r="B11" s="25" t="s">
        <v>56</v>
      </c>
      <c r="C11" s="9" t="s">
        <v>57</v>
      </c>
      <c r="D11" s="9" t="s">
        <v>18</v>
      </c>
      <c r="E11" s="9" t="s">
        <v>58</v>
      </c>
      <c r="F11" s="11" t="s">
        <v>59</v>
      </c>
      <c r="G11" s="12">
        <v>3400000</v>
      </c>
      <c r="H11" s="13">
        <v>45091</v>
      </c>
      <c r="I11" s="9" t="s">
        <v>21</v>
      </c>
      <c r="J11" s="14">
        <f t="shared" si="0"/>
        <v>0.08</v>
      </c>
      <c r="K11" s="15">
        <f t="shared" si="1"/>
        <v>272000</v>
      </c>
      <c r="L11" s="16">
        <f t="shared" si="2"/>
        <v>283333.33333333331</v>
      </c>
      <c r="M11" s="17" t="str">
        <f t="shared" si="3"/>
        <v>Mid-level</v>
      </c>
      <c r="N11" s="18">
        <f t="shared" ca="1" si="4"/>
        <v>1069</v>
      </c>
      <c r="O11" s="19"/>
    </row>
    <row r="12" spans="1:15" ht="14.25" customHeight="1" x14ac:dyDescent="0.25">
      <c r="A12" s="20" t="s">
        <v>60</v>
      </c>
      <c r="B12" s="21" t="s">
        <v>61</v>
      </c>
      <c r="C12" s="20" t="s">
        <v>62</v>
      </c>
      <c r="D12" s="20" t="s">
        <v>25</v>
      </c>
      <c r="E12" s="20" t="s">
        <v>63</v>
      </c>
      <c r="F12" s="22" t="s">
        <v>27</v>
      </c>
      <c r="G12" s="23">
        <v>4500000</v>
      </c>
      <c r="H12" s="24">
        <v>44218</v>
      </c>
      <c r="I12" s="20" t="s">
        <v>21</v>
      </c>
      <c r="J12" s="14">
        <f t="shared" si="0"/>
        <v>0.12</v>
      </c>
      <c r="K12" s="15">
        <f t="shared" si="1"/>
        <v>540000</v>
      </c>
      <c r="L12" s="16">
        <f t="shared" si="2"/>
        <v>375000</v>
      </c>
      <c r="M12" s="17" t="str">
        <f t="shared" si="3"/>
        <v>Senior</v>
      </c>
      <c r="N12" s="18">
        <f t="shared" ca="1" si="4"/>
        <v>1942</v>
      </c>
      <c r="O12" s="19"/>
    </row>
    <row r="13" spans="1:15" ht="14.25" customHeight="1" x14ac:dyDescent="0.25">
      <c r="A13" s="9" t="s">
        <v>64</v>
      </c>
      <c r="B13" s="25" t="s">
        <v>65</v>
      </c>
      <c r="C13" s="9" t="s">
        <v>66</v>
      </c>
      <c r="D13" s="9" t="s">
        <v>36</v>
      </c>
      <c r="E13" s="9" t="s">
        <v>67</v>
      </c>
      <c r="F13" s="11" t="s">
        <v>20</v>
      </c>
      <c r="G13" s="12">
        <v>3600000</v>
      </c>
      <c r="H13" s="13">
        <v>44711</v>
      </c>
      <c r="I13" s="9" t="s">
        <v>21</v>
      </c>
      <c r="J13" s="14">
        <f t="shared" si="0"/>
        <v>0.1</v>
      </c>
      <c r="K13" s="15">
        <f t="shared" si="1"/>
        <v>360000</v>
      </c>
      <c r="L13" s="16">
        <f t="shared" si="2"/>
        <v>300000</v>
      </c>
      <c r="M13" s="17" t="str">
        <f t="shared" si="3"/>
        <v>Mid-level</v>
      </c>
      <c r="N13" s="18">
        <f t="shared" ca="1" si="4"/>
        <v>1449</v>
      </c>
      <c r="O13" s="19"/>
    </row>
    <row r="14" spans="1:15" ht="14.25" customHeight="1" x14ac:dyDescent="0.25">
      <c r="A14" s="20" t="s">
        <v>68</v>
      </c>
      <c r="B14" s="21" t="s">
        <v>69</v>
      </c>
      <c r="C14" s="20" t="s">
        <v>70</v>
      </c>
      <c r="D14" s="20" t="s">
        <v>18</v>
      </c>
      <c r="E14" s="20" t="s">
        <v>71</v>
      </c>
      <c r="F14" s="22" t="s">
        <v>27</v>
      </c>
      <c r="G14" s="23">
        <v>2400000</v>
      </c>
      <c r="H14" s="24">
        <v>45352</v>
      </c>
      <c r="I14" s="20" t="s">
        <v>21</v>
      </c>
      <c r="J14" s="14">
        <f t="shared" si="0"/>
        <v>0.08</v>
      </c>
      <c r="K14" s="15">
        <f t="shared" si="1"/>
        <v>192000</v>
      </c>
      <c r="L14" s="16">
        <f t="shared" si="2"/>
        <v>200000</v>
      </c>
      <c r="M14" s="17" t="str">
        <f t="shared" si="3"/>
        <v>Junior</v>
      </c>
      <c r="N14" s="18">
        <f t="shared" ca="1" si="4"/>
        <v>808</v>
      </c>
      <c r="O14" s="19"/>
    </row>
    <row r="15" spans="1:15" ht="14.25" customHeight="1" x14ac:dyDescent="0.25">
      <c r="A15" s="9" t="s">
        <v>72</v>
      </c>
      <c r="B15" s="25" t="s">
        <v>73</v>
      </c>
      <c r="C15" s="9" t="s">
        <v>74</v>
      </c>
      <c r="D15" s="9" t="s">
        <v>25</v>
      </c>
      <c r="E15" s="9" t="s">
        <v>75</v>
      </c>
      <c r="F15" s="11" t="s">
        <v>20</v>
      </c>
      <c r="G15" s="12">
        <v>5800000</v>
      </c>
      <c r="H15" s="13">
        <v>43753</v>
      </c>
      <c r="I15" s="9" t="s">
        <v>21</v>
      </c>
      <c r="J15" s="14">
        <f t="shared" si="0"/>
        <v>0.12</v>
      </c>
      <c r="K15" s="15">
        <f t="shared" si="1"/>
        <v>696000</v>
      </c>
      <c r="L15" s="16">
        <f t="shared" si="2"/>
        <v>483333.33333333331</v>
      </c>
      <c r="M15" s="17" t="str">
        <f t="shared" si="3"/>
        <v>Senior</v>
      </c>
      <c r="N15" s="18">
        <f t="shared" ca="1" si="4"/>
        <v>2407</v>
      </c>
      <c r="O15" s="19"/>
    </row>
    <row r="16" spans="1:15" ht="14.25" customHeight="1" x14ac:dyDescent="0.25">
      <c r="A16" s="20" t="s">
        <v>76</v>
      </c>
      <c r="B16" s="21" t="s">
        <v>77</v>
      </c>
      <c r="C16" s="20" t="s">
        <v>78</v>
      </c>
      <c r="D16" s="20" t="s">
        <v>31</v>
      </c>
      <c r="E16" s="20" t="s">
        <v>79</v>
      </c>
      <c r="F16" s="22" t="s">
        <v>27</v>
      </c>
      <c r="G16" s="23">
        <v>2600000</v>
      </c>
      <c r="H16" s="24">
        <v>45261</v>
      </c>
      <c r="I16" s="20" t="s">
        <v>38</v>
      </c>
      <c r="J16" s="14">
        <f t="shared" si="0"/>
        <v>0.06</v>
      </c>
      <c r="K16" s="15">
        <f t="shared" si="1"/>
        <v>156000</v>
      </c>
      <c r="L16" s="16">
        <f t="shared" si="2"/>
        <v>216666.66666666666</v>
      </c>
      <c r="M16" s="17" t="str">
        <f t="shared" si="3"/>
        <v>Junior</v>
      </c>
      <c r="N16" s="18">
        <f t="shared" ca="1" si="4"/>
        <v>899</v>
      </c>
      <c r="O16" s="19"/>
    </row>
    <row r="17" spans="1:15" ht="14.25" customHeight="1" x14ac:dyDescent="0.25">
      <c r="A17" s="9" t="s">
        <v>80</v>
      </c>
      <c r="B17" s="25" t="s">
        <v>81</v>
      </c>
      <c r="C17" s="9" t="s">
        <v>82</v>
      </c>
      <c r="D17" s="9" t="s">
        <v>36</v>
      </c>
      <c r="E17" s="9" t="s">
        <v>83</v>
      </c>
      <c r="F17" s="11" t="s">
        <v>59</v>
      </c>
      <c r="G17" s="12">
        <v>3100000</v>
      </c>
      <c r="H17" s="13">
        <v>44814</v>
      </c>
      <c r="I17" s="9" t="s">
        <v>21</v>
      </c>
      <c r="J17" s="14">
        <f t="shared" si="0"/>
        <v>0.1</v>
      </c>
      <c r="K17" s="15">
        <f t="shared" si="1"/>
        <v>310000</v>
      </c>
      <c r="L17" s="16">
        <f t="shared" si="2"/>
        <v>258333.33333333334</v>
      </c>
      <c r="M17" s="17" t="str">
        <f t="shared" si="3"/>
        <v>Mid-level</v>
      </c>
      <c r="N17" s="18">
        <f t="shared" ca="1" si="4"/>
        <v>1346</v>
      </c>
      <c r="O17" s="19"/>
    </row>
    <row r="18" spans="1:15" ht="14.25" customHeight="1" x14ac:dyDescent="0.25">
      <c r="K18" s="1"/>
    </row>
    <row r="19" spans="1:15" ht="14.25" customHeight="1" x14ac:dyDescent="0.25">
      <c r="K19" s="1"/>
    </row>
    <row r="20" spans="1:15" ht="14.25" customHeight="1" x14ac:dyDescent="0.25">
      <c r="A20" s="28" t="s">
        <v>84</v>
      </c>
      <c r="B20" s="28"/>
      <c r="K20" s="1"/>
    </row>
    <row r="21" spans="1:15" ht="14.25" customHeight="1" x14ac:dyDescent="0.25">
      <c r="A21" s="2" t="s">
        <v>4</v>
      </c>
      <c r="B21" s="2" t="s">
        <v>10</v>
      </c>
      <c r="K21" s="1"/>
    </row>
    <row r="22" spans="1:15" ht="14.25" customHeight="1" x14ac:dyDescent="0.25">
      <c r="A22" s="26" t="s">
        <v>18</v>
      </c>
      <c r="B22" s="27">
        <v>0.08</v>
      </c>
      <c r="K22" s="1"/>
    </row>
    <row r="23" spans="1:15" ht="14.25" customHeight="1" x14ac:dyDescent="0.25">
      <c r="A23" s="26" t="s">
        <v>25</v>
      </c>
      <c r="B23" s="27">
        <v>0.12</v>
      </c>
      <c r="K23" s="1"/>
    </row>
    <row r="24" spans="1:15" ht="14.25" customHeight="1" x14ac:dyDescent="0.25">
      <c r="A24" s="26" t="s">
        <v>31</v>
      </c>
      <c r="B24" s="27">
        <v>0.06</v>
      </c>
      <c r="K24" s="1"/>
    </row>
    <row r="25" spans="1:15" ht="14.25" customHeight="1" x14ac:dyDescent="0.25">
      <c r="A25" s="26" t="s">
        <v>36</v>
      </c>
      <c r="B25" s="27">
        <v>0.1</v>
      </c>
      <c r="K25" s="1"/>
    </row>
    <row r="26" spans="1:15" ht="14.25" customHeight="1" x14ac:dyDescent="0.25">
      <c r="K26" s="1"/>
    </row>
  </sheetData>
  <mergeCells count="2">
    <mergeCell ref="A1:N1"/>
    <mergeCell ref="A20:B20"/>
  </mergeCells>
  <conditionalFormatting sqref="G3:G17">
    <cfRule type="cellIs" dxfId="1" priority="1" operator="lessThan">
      <formula>2800000</formula>
    </cfRule>
    <cfRule type="cellIs" dxfId="0" priority="2" operator="greaterThan">
      <formula>4000000</formula>
    </cfRule>
  </conditionalFormatting>
  <dataValidations count="1">
    <dataValidation type="list" allowBlank="1" showInputMessage="1" showErrorMessage="1" sqref="I3:I17" xr:uid="{AE8B4CB6-3019-436F-9FAE-030C7436DF5F}">
      <formula1>"Full-time, Contract, Intern"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86C23-7684-49AD-955F-8D6D8DE3153A}">
  <dimension ref="A1:F37"/>
  <sheetViews>
    <sheetView topLeftCell="C7" zoomScale="63" zoomScaleNormal="70" workbookViewId="0">
      <selection activeCell="I40" sqref="I40"/>
    </sheetView>
  </sheetViews>
  <sheetFormatPr defaultRowHeight="15" x14ac:dyDescent="0.25"/>
  <cols>
    <col min="1" max="6" width="17.5703125" customWidth="1"/>
  </cols>
  <sheetData>
    <row r="1" spans="1:6" ht="21" customHeight="1" x14ac:dyDescent="0.3">
      <c r="A1" s="45" t="s">
        <v>85</v>
      </c>
      <c r="B1" s="45"/>
      <c r="C1" s="45"/>
      <c r="D1" s="45"/>
      <c r="E1" s="45"/>
      <c r="F1" s="45"/>
    </row>
    <row r="2" spans="1:6" ht="14.25" customHeight="1" x14ac:dyDescent="0.25">
      <c r="A2" s="3" t="s">
        <v>86</v>
      </c>
      <c r="B2" s="3" t="s">
        <v>87</v>
      </c>
      <c r="C2" s="3" t="s">
        <v>88</v>
      </c>
      <c r="D2" s="3" t="s">
        <v>89</v>
      </c>
      <c r="E2" s="3" t="s">
        <v>90</v>
      </c>
      <c r="F2" s="31" t="s">
        <v>91</v>
      </c>
    </row>
    <row r="3" spans="1:6" ht="14.25" customHeight="1" x14ac:dyDescent="0.25">
      <c r="A3" s="25" t="s">
        <v>92</v>
      </c>
      <c r="B3" s="25" t="s">
        <v>93</v>
      </c>
      <c r="C3" s="25" t="s">
        <v>94</v>
      </c>
      <c r="D3" s="32">
        <v>45</v>
      </c>
      <c r="E3" s="32">
        <v>125000</v>
      </c>
      <c r="F3" s="33">
        <f>E3*D3</f>
        <v>5625000</v>
      </c>
    </row>
    <row r="4" spans="1:6" ht="14.25" customHeight="1" x14ac:dyDescent="0.25">
      <c r="A4" s="21" t="s">
        <v>92</v>
      </c>
      <c r="B4" s="21" t="s">
        <v>95</v>
      </c>
      <c r="C4" s="21" t="s">
        <v>94</v>
      </c>
      <c r="D4" s="34">
        <v>32</v>
      </c>
      <c r="E4" s="34">
        <v>85000</v>
      </c>
      <c r="F4" s="33">
        <f t="shared" ref="F4:F20" si="0">E4*D4</f>
        <v>2720000</v>
      </c>
    </row>
    <row r="5" spans="1:6" ht="14.25" customHeight="1" x14ac:dyDescent="0.25">
      <c r="A5" s="25" t="s">
        <v>92</v>
      </c>
      <c r="B5" s="25" t="s">
        <v>96</v>
      </c>
      <c r="C5" s="25" t="s">
        <v>97</v>
      </c>
      <c r="D5" s="32">
        <v>28</v>
      </c>
      <c r="E5" s="32">
        <v>95000</v>
      </c>
      <c r="F5" s="33">
        <f t="shared" si="0"/>
        <v>2660000</v>
      </c>
    </row>
    <row r="6" spans="1:6" ht="14.25" customHeight="1" x14ac:dyDescent="0.25">
      <c r="A6" s="21" t="s">
        <v>92</v>
      </c>
      <c r="B6" s="21" t="s">
        <v>93</v>
      </c>
      <c r="C6" s="21" t="s">
        <v>97</v>
      </c>
      <c r="D6" s="34">
        <v>38</v>
      </c>
      <c r="E6" s="34">
        <v>125000</v>
      </c>
      <c r="F6" s="33">
        <f t="shared" si="0"/>
        <v>4750000</v>
      </c>
    </row>
    <row r="7" spans="1:6" ht="14.25" customHeight="1" x14ac:dyDescent="0.25">
      <c r="A7" s="25" t="s">
        <v>98</v>
      </c>
      <c r="B7" s="25" t="s">
        <v>93</v>
      </c>
      <c r="C7" s="25" t="s">
        <v>94</v>
      </c>
      <c r="D7" s="32">
        <v>52</v>
      </c>
      <c r="E7" s="32">
        <v>125000</v>
      </c>
      <c r="F7" s="33">
        <f t="shared" si="0"/>
        <v>6500000</v>
      </c>
    </row>
    <row r="8" spans="1:6" ht="14.25" customHeight="1" x14ac:dyDescent="0.25">
      <c r="A8" s="21" t="s">
        <v>98</v>
      </c>
      <c r="B8" s="21" t="s">
        <v>95</v>
      </c>
      <c r="C8" s="21" t="s">
        <v>94</v>
      </c>
      <c r="D8" s="34">
        <v>41</v>
      </c>
      <c r="E8" s="34">
        <v>85000</v>
      </c>
      <c r="F8" s="33">
        <f t="shared" si="0"/>
        <v>3485000</v>
      </c>
    </row>
    <row r="9" spans="1:6" ht="14.25" customHeight="1" x14ac:dyDescent="0.25">
      <c r="A9" s="25" t="s">
        <v>98</v>
      </c>
      <c r="B9" s="25" t="s">
        <v>96</v>
      </c>
      <c r="C9" s="25" t="s">
        <v>97</v>
      </c>
      <c r="D9" s="32">
        <v>35</v>
      </c>
      <c r="E9" s="32">
        <v>95000</v>
      </c>
      <c r="F9" s="33">
        <f t="shared" si="0"/>
        <v>3325000</v>
      </c>
    </row>
    <row r="10" spans="1:6" ht="14.25" customHeight="1" x14ac:dyDescent="0.25">
      <c r="A10" s="21" t="s">
        <v>98</v>
      </c>
      <c r="B10" s="21" t="s">
        <v>93</v>
      </c>
      <c r="C10" s="21" t="s">
        <v>97</v>
      </c>
      <c r="D10" s="34">
        <v>44</v>
      </c>
      <c r="E10" s="34">
        <v>125000</v>
      </c>
      <c r="F10" s="33">
        <f t="shared" si="0"/>
        <v>5500000</v>
      </c>
    </row>
    <row r="11" spans="1:6" ht="14.25" customHeight="1" x14ac:dyDescent="0.25">
      <c r="A11" s="25" t="s">
        <v>98</v>
      </c>
      <c r="B11" s="25" t="s">
        <v>95</v>
      </c>
      <c r="C11" s="25" t="s">
        <v>97</v>
      </c>
      <c r="D11" s="32">
        <v>29</v>
      </c>
      <c r="E11" s="32">
        <v>85000</v>
      </c>
      <c r="F11" s="33">
        <f t="shared" si="0"/>
        <v>2465000</v>
      </c>
    </row>
    <row r="12" spans="1:6" ht="14.25" customHeight="1" x14ac:dyDescent="0.25">
      <c r="A12" s="21" t="s">
        <v>99</v>
      </c>
      <c r="B12" s="21" t="s">
        <v>93</v>
      </c>
      <c r="C12" s="21" t="s">
        <v>94</v>
      </c>
      <c r="D12" s="34">
        <v>61</v>
      </c>
      <c r="E12" s="34">
        <v>125000</v>
      </c>
      <c r="F12" s="33">
        <f t="shared" si="0"/>
        <v>7625000</v>
      </c>
    </row>
    <row r="13" spans="1:6" ht="14.25" customHeight="1" x14ac:dyDescent="0.25">
      <c r="A13" s="25" t="s">
        <v>99</v>
      </c>
      <c r="B13" s="25" t="s">
        <v>96</v>
      </c>
      <c r="C13" s="25" t="s">
        <v>94</v>
      </c>
      <c r="D13" s="32">
        <v>22</v>
      </c>
      <c r="E13" s="32">
        <v>95000</v>
      </c>
      <c r="F13" s="33">
        <f t="shared" si="0"/>
        <v>2090000</v>
      </c>
    </row>
    <row r="14" spans="1:6" ht="14.25" customHeight="1" x14ac:dyDescent="0.25">
      <c r="A14" s="21" t="s">
        <v>99</v>
      </c>
      <c r="B14" s="21" t="s">
        <v>95</v>
      </c>
      <c r="C14" s="21" t="s">
        <v>97</v>
      </c>
      <c r="D14" s="34">
        <v>37</v>
      </c>
      <c r="E14" s="34">
        <v>85000</v>
      </c>
      <c r="F14" s="33">
        <f t="shared" si="0"/>
        <v>3145000</v>
      </c>
    </row>
    <row r="15" spans="1:6" ht="14.25" customHeight="1" x14ac:dyDescent="0.25">
      <c r="A15" s="25" t="s">
        <v>99</v>
      </c>
      <c r="B15" s="25" t="s">
        <v>93</v>
      </c>
      <c r="C15" s="25" t="s">
        <v>97</v>
      </c>
      <c r="D15" s="32">
        <v>49</v>
      </c>
      <c r="E15" s="32">
        <v>125000</v>
      </c>
      <c r="F15" s="33">
        <f t="shared" si="0"/>
        <v>6125000</v>
      </c>
    </row>
    <row r="16" spans="1:6" ht="14.25" customHeight="1" x14ac:dyDescent="0.25">
      <c r="A16" s="21" t="s">
        <v>100</v>
      </c>
      <c r="B16" s="21" t="s">
        <v>93</v>
      </c>
      <c r="C16" s="21" t="s">
        <v>94</v>
      </c>
      <c r="D16" s="34">
        <v>70</v>
      </c>
      <c r="E16" s="34">
        <v>125000</v>
      </c>
      <c r="F16" s="33">
        <f t="shared" si="0"/>
        <v>8750000</v>
      </c>
    </row>
    <row r="17" spans="1:6" ht="14.25" customHeight="1" x14ac:dyDescent="0.25">
      <c r="A17" s="25" t="s">
        <v>100</v>
      </c>
      <c r="B17" s="25" t="s">
        <v>95</v>
      </c>
      <c r="C17" s="25" t="s">
        <v>94</v>
      </c>
      <c r="D17" s="32">
        <v>55</v>
      </c>
      <c r="E17" s="32">
        <v>85000</v>
      </c>
      <c r="F17" s="33">
        <f t="shared" si="0"/>
        <v>4675000</v>
      </c>
    </row>
    <row r="18" spans="1:6" ht="14.25" customHeight="1" x14ac:dyDescent="0.25">
      <c r="A18" s="21" t="s">
        <v>100</v>
      </c>
      <c r="B18" s="21" t="s">
        <v>96</v>
      </c>
      <c r="C18" s="21" t="s">
        <v>94</v>
      </c>
      <c r="D18" s="34">
        <v>33</v>
      </c>
      <c r="E18" s="34">
        <v>95000</v>
      </c>
      <c r="F18" s="33">
        <f t="shared" si="0"/>
        <v>3135000</v>
      </c>
    </row>
    <row r="19" spans="1:6" ht="14.25" customHeight="1" x14ac:dyDescent="0.25">
      <c r="A19" s="25" t="s">
        <v>100</v>
      </c>
      <c r="B19" s="25" t="s">
        <v>96</v>
      </c>
      <c r="C19" s="25" t="s">
        <v>97</v>
      </c>
      <c r="D19" s="32">
        <v>40</v>
      </c>
      <c r="E19" s="32">
        <v>95000</v>
      </c>
      <c r="F19" s="33">
        <f t="shared" si="0"/>
        <v>3800000</v>
      </c>
    </row>
    <row r="20" spans="1:6" ht="14.25" customHeight="1" x14ac:dyDescent="0.25">
      <c r="A20" s="21" t="s">
        <v>100</v>
      </c>
      <c r="B20" s="21" t="s">
        <v>93</v>
      </c>
      <c r="C20" s="21" t="s">
        <v>97</v>
      </c>
      <c r="D20" s="34">
        <v>58</v>
      </c>
      <c r="E20" s="34">
        <v>125000</v>
      </c>
      <c r="F20" s="33">
        <f t="shared" si="0"/>
        <v>7250000</v>
      </c>
    </row>
    <row r="21" spans="1:6" ht="14.25" customHeight="1" x14ac:dyDescent="0.25">
      <c r="D21" s="35"/>
      <c r="E21" s="35"/>
      <c r="F21" s="36"/>
    </row>
    <row r="22" spans="1:6" ht="14.25" customHeight="1" x14ac:dyDescent="0.25"/>
    <row r="23" spans="1:6" ht="14.25" customHeight="1" x14ac:dyDescent="0.25">
      <c r="A23" s="30" t="s">
        <v>101</v>
      </c>
    </row>
    <row r="24" spans="1:6" ht="14.25" customHeight="1" x14ac:dyDescent="0.25">
      <c r="A24" s="37" t="s">
        <v>102</v>
      </c>
      <c r="D24" s="46">
        <f>SUM(D3:D20)</f>
        <v>769</v>
      </c>
    </row>
    <row r="25" spans="1:6" ht="14.25" customHeight="1" x14ac:dyDescent="0.25">
      <c r="A25" s="37" t="s">
        <v>103</v>
      </c>
      <c r="D25" s="47">
        <f>SUM(F3:F20)</f>
        <v>83625000</v>
      </c>
    </row>
    <row r="26" spans="1:6" ht="14.25" customHeight="1" x14ac:dyDescent="0.25">
      <c r="A26" s="38"/>
      <c r="D26" s="42"/>
    </row>
    <row r="27" spans="1:6" ht="14.25" customHeight="1" x14ac:dyDescent="0.25">
      <c r="A27" s="37" t="s">
        <v>104</v>
      </c>
      <c r="D27" s="48">
        <f>SUMIF(B3:B20,"Solar panels",D3:D20)</f>
        <v>417</v>
      </c>
    </row>
    <row r="28" spans="1:6" ht="14.25" customHeight="1" x14ac:dyDescent="0.25">
      <c r="A28" s="37" t="s">
        <v>105</v>
      </c>
      <c r="D28" s="48">
        <f>SUMIF(C3:C20,"Novaria",D3:D20)</f>
        <v>411</v>
      </c>
    </row>
    <row r="29" spans="1:6" ht="14.25" customHeight="1" x14ac:dyDescent="0.25">
      <c r="A29" s="37" t="s">
        <v>106</v>
      </c>
      <c r="D29" s="48">
        <f>COUNTIF(A3:A20,"Q1 2025")</f>
        <v>4</v>
      </c>
    </row>
    <row r="30" spans="1:6" ht="14.25" customHeight="1" x14ac:dyDescent="0.25">
      <c r="A30" s="37"/>
      <c r="D30" s="39"/>
    </row>
    <row r="31" spans="1:6" s="42" customFormat="1" ht="18.75" customHeight="1" x14ac:dyDescent="0.25">
      <c r="A31" s="37"/>
      <c r="B31" s="40" t="s">
        <v>107</v>
      </c>
      <c r="C31" s="41" t="s">
        <v>108</v>
      </c>
      <c r="D31" s="39"/>
    </row>
    <row r="32" spans="1:6" ht="14.25" customHeight="1" x14ac:dyDescent="0.25">
      <c r="A32" s="37"/>
      <c r="B32" s="43" t="s">
        <v>92</v>
      </c>
      <c r="C32" s="44">
        <f>SUMIF($A$3:$A$20,$B$32,$D$3:$D$20)</f>
        <v>143</v>
      </c>
      <c r="D32" s="39"/>
    </row>
    <row r="33" spans="1:4" ht="14.25" customHeight="1" x14ac:dyDescent="0.25">
      <c r="A33" s="37"/>
      <c r="B33" s="43" t="s">
        <v>98</v>
      </c>
      <c r="C33" s="44">
        <f t="shared" ref="C33:C35" si="1">SUMIF($A$3:$A$20,B33,$D$3:$D$20)</f>
        <v>201</v>
      </c>
      <c r="D33" s="39"/>
    </row>
    <row r="34" spans="1:4" ht="14.25" customHeight="1" x14ac:dyDescent="0.25">
      <c r="A34" s="37"/>
      <c r="B34" s="43" t="s">
        <v>99</v>
      </c>
      <c r="C34" s="44">
        <f>SUMIF($A$3:$A$20,B34,$D$3:$D$20)</f>
        <v>169</v>
      </c>
      <c r="D34" s="39"/>
    </row>
    <row r="35" spans="1:4" ht="14.25" customHeight="1" x14ac:dyDescent="0.25">
      <c r="A35" s="37"/>
      <c r="B35" s="43" t="s">
        <v>100</v>
      </c>
      <c r="C35" s="44">
        <f t="shared" si="1"/>
        <v>256</v>
      </c>
    </row>
    <row r="36" spans="1:4" ht="14.25" customHeight="1" x14ac:dyDescent="0.25">
      <c r="A36" s="37"/>
      <c r="B36" s="10"/>
    </row>
    <row r="37" spans="1:4" ht="14.25" customHeight="1" x14ac:dyDescent="0.25"/>
  </sheetData>
  <mergeCells count="1">
    <mergeCell ref="A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1 - Employee Data</vt:lpstr>
      <vt:lpstr>Sheet 2 - 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Oluwatobiloba Olayera</dc:creator>
  <cp:lastModifiedBy>Oluwatobiloba Olayera</cp:lastModifiedBy>
  <dcterms:created xsi:type="dcterms:W3CDTF">2026-05-18T01:53:26Z</dcterms:created>
  <dcterms:modified xsi:type="dcterms:W3CDTF">2026-05-18T02:00:42Z</dcterms:modified>
</cp:coreProperties>
</file>